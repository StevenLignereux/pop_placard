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4c1fd17f6ec22f26/Bureau/Inventaires_SEAA/"/>
    </mc:Choice>
  </mc:AlternateContent>
  <xr:revisionPtr revIDLastSave="0" documentId="8_{754C9F52-5B39-48BA-92B5-8BEC3A41E85C}" xr6:coauthVersionLast="47" xr6:coauthVersionMax="47" xr10:uidLastSave="{00000000-0000-0000-0000-000000000000}"/>
  <bookViews>
    <workbookView xWindow="-120" yWindow="-120" windowWidth="29040" windowHeight="15720" xr2:uid="{FB76267B-13F5-47D1-B2DE-C20D6338F859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1" l="1"/>
  <c r="K30" i="1"/>
  <c r="K29" i="1"/>
  <c r="J27" i="1"/>
  <c r="K27" i="1" s="1"/>
  <c r="J28" i="1"/>
  <c r="K28" i="1" s="1"/>
  <c r="K26" i="1"/>
  <c r="K12" i="1"/>
  <c r="J25" i="1"/>
  <c r="K25" i="1" s="1"/>
  <c r="K7" i="1"/>
  <c r="K8" i="1"/>
  <c r="K9" i="1"/>
  <c r="J10" i="1"/>
  <c r="K10" i="1" s="1"/>
  <c r="J11" i="1"/>
  <c r="K11" i="1" s="1"/>
  <c r="K13" i="1"/>
  <c r="J14" i="1"/>
  <c r="K14" i="1" s="1"/>
  <c r="J15" i="1"/>
  <c r="K15" i="1" s="1"/>
  <c r="K16" i="1"/>
  <c r="J17" i="1"/>
  <c r="K17" i="1" s="1"/>
  <c r="J18" i="1"/>
  <c r="K18" i="1" s="1"/>
  <c r="J19" i="1"/>
  <c r="K19" i="1" s="1"/>
  <c r="G20" i="1"/>
  <c r="J20" i="1" s="1"/>
  <c r="K20" i="1" s="1"/>
  <c r="J21" i="1"/>
  <c r="K21" i="1" s="1"/>
  <c r="J22" i="1"/>
  <c r="K22" i="1" s="1"/>
  <c r="J23" i="1"/>
  <c r="K23" i="1" s="1"/>
  <c r="J24" i="1"/>
  <c r="K24" i="1" s="1"/>
  <c r="J4" i="1"/>
  <c r="J5" i="1"/>
  <c r="K5" i="1" s="1"/>
  <c r="K6" i="1"/>
  <c r="K4" i="1" l="1"/>
</calcChain>
</file>

<file path=xl/sharedStrings.xml><?xml version="1.0" encoding="utf-8"?>
<sst xmlns="http://schemas.openxmlformats.org/spreadsheetml/2006/main" count="44" uniqueCount="43">
  <si>
    <t>Produits</t>
  </si>
  <si>
    <t>Entrées</t>
  </si>
  <si>
    <t>Stock disponible</t>
  </si>
  <si>
    <t>Sorties</t>
  </si>
  <si>
    <t>Reste</t>
  </si>
  <si>
    <t>Numéro de lots</t>
  </si>
  <si>
    <t>Nom du produit</t>
  </si>
  <si>
    <t>Nombre de cartons</t>
  </si>
  <si>
    <t>Nombre de boites par carton</t>
  </si>
  <si>
    <t>Nombre de boites</t>
  </si>
  <si>
    <t>Total en boites</t>
  </si>
  <si>
    <t>Produits distribués</t>
  </si>
  <si>
    <t>Produits perdus</t>
  </si>
  <si>
    <t>Total nombre de boîtes</t>
  </si>
  <si>
    <t>Dans les placards</t>
  </si>
  <si>
    <t>Lait</t>
  </si>
  <si>
    <t>Pâtes</t>
  </si>
  <si>
    <t>Chocolat en poudre</t>
  </si>
  <si>
    <t>lentilles</t>
  </si>
  <si>
    <t>Sardines</t>
  </si>
  <si>
    <t>Champignons</t>
  </si>
  <si>
    <t>Légumes couscous</t>
  </si>
  <si>
    <t>farine</t>
  </si>
  <si>
    <t>Haricots Verts</t>
  </si>
  <si>
    <t>Poissons</t>
  </si>
  <si>
    <t>poulet basquaise</t>
  </si>
  <si>
    <t>sucre</t>
  </si>
  <si>
    <t>Flageolets</t>
  </si>
  <si>
    <t>Purée</t>
  </si>
  <si>
    <t>Compote</t>
  </si>
  <si>
    <t>Crème dessert</t>
  </si>
  <si>
    <t>café</t>
  </si>
  <si>
    <t>Petits pois</t>
  </si>
  <si>
    <t>Céréales</t>
  </si>
  <si>
    <t>Confiture</t>
  </si>
  <si>
    <t>Huile</t>
  </si>
  <si>
    <t>steaks hachés</t>
  </si>
  <si>
    <t>Semoule Couscous</t>
  </si>
  <si>
    <t>Beurre</t>
  </si>
  <si>
    <t>Soupe</t>
  </si>
  <si>
    <t>Emmental</t>
  </si>
  <si>
    <t>Cuisses de poulet</t>
  </si>
  <si>
    <t>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</si>
</sst>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16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/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5" fillId="7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3" xfId="0" applyNumberFormat="1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553E-A04E-408D-9CE6-82F3D51D1D0B}">
  <dimension ref="A1:K31"/>
  <sheetViews>
    <sheetView tabSelected="1" workbookViewId="0">
      <pane ySplit="3" topLeftCell="A6" activePane="bottomLeft" state="frozen"/>
      <selection pane="bottomLeft" activeCell="A14" sqref="A14"/>
      <selection activeCell="B1" sqref="B1"/>
    </sheetView>
  </sheetViews>
  <sheetFormatPr defaultColWidth="10.7109375" defaultRowHeight="15"/>
  <cols>
    <col min="1" max="1" width="46.140625" customWidth="1"/>
    <col min="2" max="2" width="25.85546875" bestFit="1" customWidth="1"/>
    <col min="3" max="6" width="19.7109375" customWidth="1"/>
    <col min="7" max="7" width="24.42578125" bestFit="1" customWidth="1"/>
    <col min="8" max="8" width="19.7109375" customWidth="1"/>
    <col min="9" max="9" width="26.140625" bestFit="1" customWidth="1"/>
    <col min="10" max="10" width="27" bestFit="1" customWidth="1"/>
    <col min="11" max="11" width="29.5703125" bestFit="1" customWidth="1"/>
  </cols>
  <sheetData>
    <row r="1" spans="1:11" ht="28.5">
      <c r="A1" s="30">
        <v>45996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48" customHeight="1">
      <c r="A2" s="33" t="s">
        <v>0</v>
      </c>
      <c r="B2" s="34"/>
      <c r="C2" s="33" t="s">
        <v>1</v>
      </c>
      <c r="D2" s="34"/>
      <c r="E2" s="33" t="s">
        <v>2</v>
      </c>
      <c r="F2" s="35"/>
      <c r="G2" s="34"/>
      <c r="H2" s="33" t="s">
        <v>3</v>
      </c>
      <c r="I2" s="34"/>
      <c r="J2" s="33" t="s">
        <v>4</v>
      </c>
      <c r="K2" s="34"/>
    </row>
    <row r="3" spans="1:11" ht="63">
      <c r="A3" s="11" t="s">
        <v>5</v>
      </c>
      <c r="B3" s="11" t="s">
        <v>6</v>
      </c>
      <c r="C3" s="11" t="s">
        <v>7</v>
      </c>
      <c r="D3" s="11" t="s">
        <v>8</v>
      </c>
      <c r="E3" s="11" t="s">
        <v>7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2" t="s">
        <v>14</v>
      </c>
    </row>
    <row r="4" spans="1:11" ht="42">
      <c r="A4" s="5">
        <v>500</v>
      </c>
      <c r="B4" s="5" t="s">
        <v>15</v>
      </c>
      <c r="C4" s="5">
        <v>0</v>
      </c>
      <c r="D4" s="5">
        <v>6</v>
      </c>
      <c r="E4" s="5">
        <v>27</v>
      </c>
      <c r="F4" s="5">
        <v>2</v>
      </c>
      <c r="G4" s="5">
        <v>164</v>
      </c>
      <c r="H4" s="5">
        <v>0</v>
      </c>
      <c r="I4" s="5">
        <v>0</v>
      </c>
      <c r="J4" s="5">
        <f>G4-H4-I4</f>
        <v>164</v>
      </c>
      <c r="K4" s="6" t="str">
        <f>"Il reste "&amp;ROUNDDOWN(J4/D4,0)&amp;" packs et "&amp;J4-ROUNDDOWN(J4/D4,0)*D4&amp;" litres"</f>
        <v>Il reste 27 packs et 2 litres</v>
      </c>
    </row>
    <row r="5" spans="1:11" ht="42">
      <c r="A5" s="7">
        <v>411</v>
      </c>
      <c r="B5" s="7" t="s">
        <v>16</v>
      </c>
      <c r="C5" s="7">
        <v>0</v>
      </c>
      <c r="D5" s="7">
        <v>24</v>
      </c>
      <c r="E5" s="7">
        <v>4</v>
      </c>
      <c r="F5" s="7">
        <v>19</v>
      </c>
      <c r="G5" s="7">
        <v>115</v>
      </c>
      <c r="H5" s="7">
        <v>0</v>
      </c>
      <c r="I5" s="7">
        <v>0</v>
      </c>
      <c r="J5" s="7">
        <f>G5-H5-I5</f>
        <v>115</v>
      </c>
      <c r="K5" s="8" t="str">
        <f t="shared" ref="K5:K29" si="0">"Il reste " &amp; ROUNDDOWN(J5/D5,0) &amp; " cartons et " &amp; J5-ROUNDDOWN(J5/D5,0)* D5 &amp; " boites."</f>
        <v>Il reste 4 cartons et 19 boites.</v>
      </c>
    </row>
    <row r="6" spans="1:11" s="17" customFormat="1" ht="42">
      <c r="A6" s="13">
        <v>403</v>
      </c>
      <c r="B6" s="13" t="s">
        <v>17</v>
      </c>
      <c r="C6" s="13">
        <v>0</v>
      </c>
      <c r="D6" s="13">
        <v>12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4" t="str">
        <f t="shared" si="0"/>
        <v>Il reste 0 cartons et 0 boites.</v>
      </c>
    </row>
    <row r="7" spans="1:11" s="17" customFormat="1" ht="42">
      <c r="A7" s="22">
        <v>409</v>
      </c>
      <c r="B7" s="22" t="s">
        <v>18</v>
      </c>
      <c r="C7" s="22">
        <v>0</v>
      </c>
      <c r="D7" s="22">
        <v>12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3" t="str">
        <f t="shared" si="0"/>
        <v>Il reste 0 cartons et 0 boites.</v>
      </c>
    </row>
    <row r="8" spans="1:11" ht="42">
      <c r="A8" s="5">
        <v>521</v>
      </c>
      <c r="B8" s="5" t="s">
        <v>19</v>
      </c>
      <c r="C8" s="5">
        <v>0</v>
      </c>
      <c r="D8" s="5">
        <v>30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6" t="str">
        <f t="shared" si="0"/>
        <v>Il reste 0 cartons et 0 boites.</v>
      </c>
    </row>
    <row r="9" spans="1:11" ht="42">
      <c r="A9" s="9">
        <v>302</v>
      </c>
      <c r="B9" s="9" t="s">
        <v>20</v>
      </c>
      <c r="C9" s="9">
        <v>0</v>
      </c>
      <c r="D9" s="9">
        <v>12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10" t="str">
        <f t="shared" si="0"/>
        <v>Il reste 0 cartons et 0 boites.</v>
      </c>
    </row>
    <row r="10" spans="1:11" ht="42">
      <c r="A10" s="13">
        <v>515</v>
      </c>
      <c r="B10" s="13" t="s">
        <v>21</v>
      </c>
      <c r="C10" s="13">
        <v>0</v>
      </c>
      <c r="D10" s="13">
        <v>12</v>
      </c>
      <c r="E10" s="13">
        <v>5</v>
      </c>
      <c r="F10" s="13">
        <v>0</v>
      </c>
      <c r="G10" s="13">
        <v>60</v>
      </c>
      <c r="H10" s="13">
        <v>51</v>
      </c>
      <c r="I10" s="13">
        <v>0</v>
      </c>
      <c r="J10" s="13">
        <f t="shared" ref="J10:J24" si="1">G10-H10-I10</f>
        <v>9</v>
      </c>
      <c r="K10" s="14" t="str">
        <f t="shared" si="0"/>
        <v>Il reste 0 cartons et 9 boites.</v>
      </c>
    </row>
    <row r="11" spans="1:11" ht="42">
      <c r="A11" s="9">
        <v>509</v>
      </c>
      <c r="B11" s="9" t="s">
        <v>22</v>
      </c>
      <c r="C11" s="9">
        <v>0</v>
      </c>
      <c r="D11" s="9">
        <v>10</v>
      </c>
      <c r="E11" s="9">
        <v>1</v>
      </c>
      <c r="F11" s="9">
        <v>0</v>
      </c>
      <c r="G11" s="9">
        <v>10</v>
      </c>
      <c r="H11" s="9">
        <v>0</v>
      </c>
      <c r="I11" s="9">
        <v>0</v>
      </c>
      <c r="J11" s="9">
        <f t="shared" si="1"/>
        <v>10</v>
      </c>
      <c r="K11" s="10" t="str">
        <f t="shared" si="0"/>
        <v>Il reste 1 cartons et 0 boites.</v>
      </c>
    </row>
    <row r="12" spans="1:11" ht="42">
      <c r="A12" s="5">
        <v>501</v>
      </c>
      <c r="B12" s="5" t="s">
        <v>23</v>
      </c>
      <c r="C12" s="5">
        <v>0</v>
      </c>
      <c r="D12" s="5">
        <v>12</v>
      </c>
      <c r="E12" s="5">
        <v>5</v>
      </c>
      <c r="F12" s="5">
        <v>0</v>
      </c>
      <c r="G12" s="5">
        <v>60</v>
      </c>
      <c r="H12" s="5">
        <v>0</v>
      </c>
      <c r="I12" s="5">
        <v>0</v>
      </c>
      <c r="J12" s="5">
        <v>60</v>
      </c>
      <c r="K12" s="6" t="str">
        <f t="shared" si="0"/>
        <v>Il reste 5 cartons et 0 boites.</v>
      </c>
    </row>
    <row r="13" spans="1:11" s="17" customFormat="1" ht="42">
      <c r="A13" s="15">
        <v>432</v>
      </c>
      <c r="B13" s="15" t="s">
        <v>24</v>
      </c>
      <c r="C13" s="15">
        <v>0</v>
      </c>
      <c r="D13" s="15">
        <v>18</v>
      </c>
      <c r="E13" s="15">
        <v>1</v>
      </c>
      <c r="F13" s="15">
        <v>0</v>
      </c>
      <c r="G13" s="15">
        <v>18</v>
      </c>
      <c r="H13" s="15">
        <v>0</v>
      </c>
      <c r="I13" s="15">
        <v>0</v>
      </c>
      <c r="J13" s="15">
        <v>18</v>
      </c>
      <c r="K13" s="16" t="str">
        <f>"Il reste " &amp; ROUNDDOWN(J13/D13,0) &amp; " cartons et " &amp; J13-ROUNDDOWN(J13/D13,0)* D13 &amp; " boites."</f>
        <v>Il reste 1 cartons et 0 boites.</v>
      </c>
    </row>
    <row r="14" spans="1:11" ht="42">
      <c r="A14" s="5">
        <v>414</v>
      </c>
      <c r="B14" s="5" t="s">
        <v>25</v>
      </c>
      <c r="C14" s="5">
        <v>0</v>
      </c>
      <c r="D14" s="5">
        <v>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f t="shared" si="1"/>
        <v>0</v>
      </c>
      <c r="K14" s="6" t="str">
        <f t="shared" si="0"/>
        <v>Il reste 0 cartons et 0 boites.</v>
      </c>
    </row>
    <row r="15" spans="1:11" ht="42">
      <c r="A15" s="4">
        <v>522</v>
      </c>
      <c r="B15" s="4" t="s">
        <v>26</v>
      </c>
      <c r="C15" s="4">
        <v>0</v>
      </c>
      <c r="D15" s="4">
        <v>8</v>
      </c>
      <c r="E15" s="4">
        <v>5</v>
      </c>
      <c r="F15" s="4">
        <v>0</v>
      </c>
      <c r="G15" s="4">
        <v>40</v>
      </c>
      <c r="H15" s="4">
        <v>0</v>
      </c>
      <c r="I15" s="4">
        <v>0</v>
      </c>
      <c r="J15" s="4">
        <f t="shared" si="1"/>
        <v>40</v>
      </c>
      <c r="K15" s="3" t="str">
        <f t="shared" si="0"/>
        <v>Il reste 5 cartons et 0 boites.</v>
      </c>
    </row>
    <row r="16" spans="1:11" ht="42">
      <c r="A16" s="5">
        <v>102</v>
      </c>
      <c r="B16" s="5" t="s">
        <v>27</v>
      </c>
      <c r="C16" s="5">
        <v>0</v>
      </c>
      <c r="D16" s="5">
        <v>12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6" t="str">
        <f t="shared" si="0"/>
        <v>Il reste 0 cartons et 0 boites.</v>
      </c>
    </row>
    <row r="17" spans="1:11" ht="42">
      <c r="A17" s="4">
        <v>416</v>
      </c>
      <c r="B17" s="4" t="s">
        <v>28</v>
      </c>
      <c r="C17" s="4">
        <v>0</v>
      </c>
      <c r="D17" s="4">
        <v>14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f t="shared" si="1"/>
        <v>0</v>
      </c>
      <c r="K17" s="3" t="str">
        <f t="shared" si="0"/>
        <v>Il reste 0 cartons et 0 boites.</v>
      </c>
    </row>
    <row r="18" spans="1:11" ht="42">
      <c r="A18" s="5">
        <v>415</v>
      </c>
      <c r="B18" s="5" t="s">
        <v>29</v>
      </c>
      <c r="C18" s="5">
        <v>0</v>
      </c>
      <c r="D18" s="5">
        <v>12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f t="shared" si="1"/>
        <v>0</v>
      </c>
      <c r="K18" s="6" t="str">
        <f t="shared" si="0"/>
        <v>Il reste 0 cartons et 0 boites.</v>
      </c>
    </row>
    <row r="19" spans="1:11" ht="42">
      <c r="A19" s="4">
        <v>508</v>
      </c>
      <c r="B19" s="4" t="s">
        <v>30</v>
      </c>
      <c r="C19" s="4">
        <v>0</v>
      </c>
      <c r="D19" s="4">
        <v>12</v>
      </c>
      <c r="E19" s="4">
        <v>2</v>
      </c>
      <c r="F19" s="4">
        <v>11</v>
      </c>
      <c r="G19" s="4">
        <v>35</v>
      </c>
      <c r="H19" s="4">
        <v>0</v>
      </c>
      <c r="I19" s="4">
        <v>0</v>
      </c>
      <c r="J19" s="4">
        <f t="shared" si="1"/>
        <v>35</v>
      </c>
      <c r="K19" s="3" t="str">
        <f t="shared" si="0"/>
        <v>Il reste 2 cartons et 11 boites.</v>
      </c>
    </row>
    <row r="20" spans="1:11" ht="42">
      <c r="A20" s="5">
        <v>504</v>
      </c>
      <c r="B20" s="5" t="s">
        <v>31</v>
      </c>
      <c r="C20" s="5">
        <v>0</v>
      </c>
      <c r="D20" s="5">
        <v>20</v>
      </c>
      <c r="E20" s="5">
        <v>4</v>
      </c>
      <c r="F20" s="5">
        <v>0</v>
      </c>
      <c r="G20" s="5">
        <f t="shared" ref="G20" si="2">(C20*D20)+(E20*D20)+F20</f>
        <v>80</v>
      </c>
      <c r="H20" s="5">
        <v>0</v>
      </c>
      <c r="I20" s="5">
        <v>0</v>
      </c>
      <c r="J20" s="5">
        <f t="shared" si="1"/>
        <v>80</v>
      </c>
      <c r="K20" s="6" t="str">
        <f t="shared" si="0"/>
        <v>Il reste 4 cartons et 0 boites.</v>
      </c>
    </row>
    <row r="21" spans="1:11" ht="42">
      <c r="A21" s="4">
        <v>502</v>
      </c>
      <c r="B21" s="4" t="s">
        <v>32</v>
      </c>
      <c r="C21" s="4">
        <v>0</v>
      </c>
      <c r="D21" s="4">
        <v>12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f t="shared" si="1"/>
        <v>0</v>
      </c>
      <c r="K21" s="3" t="str">
        <f t="shared" si="0"/>
        <v>Il reste 0 cartons et 0 boites.</v>
      </c>
    </row>
    <row r="22" spans="1:11" ht="42">
      <c r="A22" s="5">
        <v>401</v>
      </c>
      <c r="B22" s="5" t="s">
        <v>33</v>
      </c>
      <c r="C22" s="5">
        <v>0</v>
      </c>
      <c r="D22" s="5">
        <v>12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f t="shared" si="1"/>
        <v>0</v>
      </c>
      <c r="K22" s="6" t="str">
        <f t="shared" si="0"/>
        <v>Il reste 0 cartons et 0 boites.</v>
      </c>
    </row>
    <row r="23" spans="1:11" s="17" customFormat="1" ht="42">
      <c r="A23" s="15">
        <v>404</v>
      </c>
      <c r="B23" s="15" t="s">
        <v>34</v>
      </c>
      <c r="C23" s="15">
        <v>0</v>
      </c>
      <c r="D23" s="15">
        <v>12</v>
      </c>
      <c r="E23" s="15">
        <v>1</v>
      </c>
      <c r="F23" s="15">
        <v>5</v>
      </c>
      <c r="G23" s="15">
        <v>17</v>
      </c>
      <c r="H23" s="15">
        <v>0</v>
      </c>
      <c r="I23" s="15">
        <v>0</v>
      </c>
      <c r="J23" s="15">
        <f t="shared" si="1"/>
        <v>17</v>
      </c>
      <c r="K23" s="16" t="str">
        <f t="shared" si="0"/>
        <v>Il reste 1 cartons et 5 boites.</v>
      </c>
    </row>
    <row r="24" spans="1:11" ht="42">
      <c r="A24" s="2">
        <v>308</v>
      </c>
      <c r="B24" s="2" t="s">
        <v>35</v>
      </c>
      <c r="C24" s="2">
        <v>0</v>
      </c>
      <c r="D24" s="2">
        <v>10</v>
      </c>
      <c r="E24" s="2">
        <v>1</v>
      </c>
      <c r="F24" s="2">
        <v>0</v>
      </c>
      <c r="G24" s="2">
        <v>10</v>
      </c>
      <c r="H24" s="2">
        <v>0</v>
      </c>
      <c r="I24" s="2">
        <v>0</v>
      </c>
      <c r="J24" s="2">
        <f t="shared" si="1"/>
        <v>10</v>
      </c>
      <c r="K24" s="1" t="str">
        <f t="shared" si="0"/>
        <v>Il reste 1 cartons et 0 boites.</v>
      </c>
    </row>
    <row r="25" spans="1:11" s="17" customFormat="1" ht="42">
      <c r="A25" s="18">
        <v>433</v>
      </c>
      <c r="B25" s="18" t="s">
        <v>36</v>
      </c>
      <c r="C25" s="18">
        <v>0</v>
      </c>
      <c r="D25" s="18">
        <v>50</v>
      </c>
      <c r="E25" s="18">
        <v>6</v>
      </c>
      <c r="F25" s="18">
        <v>0</v>
      </c>
      <c r="G25" s="18">
        <v>300</v>
      </c>
      <c r="H25" s="18">
        <v>0</v>
      </c>
      <c r="I25" s="18">
        <v>0</v>
      </c>
      <c r="J25" s="18">
        <f>G25-H25-I25</f>
        <v>300</v>
      </c>
      <c r="K25" s="19" t="str">
        <f t="shared" si="0"/>
        <v>Il reste 6 cartons et 0 boites.</v>
      </c>
    </row>
    <row r="26" spans="1:11" s="17" customFormat="1" ht="42">
      <c r="A26" s="20">
        <v>407</v>
      </c>
      <c r="B26" s="20" t="s">
        <v>37</v>
      </c>
      <c r="C26" s="20">
        <v>0</v>
      </c>
      <c r="D26" s="20">
        <v>12</v>
      </c>
      <c r="E26" s="20">
        <v>4</v>
      </c>
      <c r="F26" s="20">
        <v>0</v>
      </c>
      <c r="G26" s="20">
        <v>48</v>
      </c>
      <c r="H26" s="20">
        <v>0</v>
      </c>
      <c r="I26" s="20">
        <v>0</v>
      </c>
      <c r="J26" s="20">
        <v>48</v>
      </c>
      <c r="K26" s="21" t="str">
        <f t="shared" si="0"/>
        <v>Il reste 4 cartons et 0 boites.</v>
      </c>
    </row>
    <row r="27" spans="1:11" s="26" customFormat="1" ht="42">
      <c r="A27" s="24">
        <v>429</v>
      </c>
      <c r="B27" s="24" t="s">
        <v>38</v>
      </c>
      <c r="C27" s="24">
        <v>0</v>
      </c>
      <c r="D27" s="24">
        <v>40</v>
      </c>
      <c r="E27" s="24">
        <v>3</v>
      </c>
      <c r="F27" s="24">
        <v>0</v>
      </c>
      <c r="G27" s="24">
        <v>120</v>
      </c>
      <c r="H27" s="24">
        <v>49</v>
      </c>
      <c r="I27" s="24">
        <v>0</v>
      </c>
      <c r="J27" s="24">
        <f>G27-H27-I27</f>
        <v>71</v>
      </c>
      <c r="K27" s="25" t="str">
        <f t="shared" si="0"/>
        <v>Il reste 1 cartons et 31 boites.</v>
      </c>
    </row>
    <row r="28" spans="1:11" s="27" customFormat="1" ht="42">
      <c r="A28" s="20">
        <v>419</v>
      </c>
      <c r="B28" s="20" t="s">
        <v>39</v>
      </c>
      <c r="C28" s="20">
        <v>0</v>
      </c>
      <c r="D28" s="20">
        <v>6</v>
      </c>
      <c r="E28" s="20">
        <v>4</v>
      </c>
      <c r="F28" s="20">
        <v>0</v>
      </c>
      <c r="G28" s="20">
        <v>24</v>
      </c>
      <c r="H28" s="20">
        <v>24</v>
      </c>
      <c r="I28" s="20">
        <v>0</v>
      </c>
      <c r="J28" s="20">
        <f>G28-H28-I28</f>
        <v>0</v>
      </c>
      <c r="K28" s="21" t="str">
        <f t="shared" si="0"/>
        <v>Il reste 0 cartons et 0 boites.</v>
      </c>
    </row>
    <row r="29" spans="1:11" ht="42">
      <c r="A29" s="24">
        <v>431</v>
      </c>
      <c r="B29" s="24" t="s">
        <v>40</v>
      </c>
      <c r="C29" s="24">
        <v>0</v>
      </c>
      <c r="D29" s="24">
        <v>40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5" t="str">
        <f t="shared" si="0"/>
        <v>Il reste 0 cartons et 0 boites.</v>
      </c>
    </row>
    <row r="30" spans="1:11" ht="42">
      <c r="A30" s="28">
        <v>430</v>
      </c>
      <c r="B30" s="28" t="s">
        <v>41</v>
      </c>
      <c r="C30" s="28">
        <v>0</v>
      </c>
      <c r="D30" s="28">
        <v>6</v>
      </c>
      <c r="E30" s="28">
        <v>2</v>
      </c>
      <c r="F30" s="28">
        <v>4</v>
      </c>
      <c r="G30" s="28">
        <v>16</v>
      </c>
      <c r="H30" s="28">
        <v>0</v>
      </c>
      <c r="I30" s="28">
        <v>0</v>
      </c>
      <c r="J30" s="28">
        <v>16</v>
      </c>
      <c r="K30" s="29" t="str">
        <f t="shared" ref="K30" si="3">"Il reste " &amp; ROUNDDOWN(J30/D30,0) &amp; " cartons et " &amp; J30-ROUNDDOWN(J30/D30,0)* D30 &amp; " boites."</f>
        <v>Il reste 2 cartons et 4 boites.</v>
      </c>
    </row>
    <row r="31" spans="1:11" ht="42">
      <c r="A31" s="24">
        <v>417</v>
      </c>
      <c r="B31" s="24" t="s">
        <v>42</v>
      </c>
      <c r="C31" s="24">
        <v>0</v>
      </c>
      <c r="D31" s="24">
        <v>12</v>
      </c>
      <c r="E31" s="24">
        <v>10</v>
      </c>
      <c r="F31" s="24">
        <v>1</v>
      </c>
      <c r="G31" s="24">
        <v>121</v>
      </c>
      <c r="H31" s="24">
        <v>0</v>
      </c>
      <c r="I31" s="24">
        <v>0</v>
      </c>
      <c r="J31" s="24">
        <v>121</v>
      </c>
      <c r="K31" s="25" t="str">
        <f t="shared" ref="K31" si="4">"Il reste " &amp; ROUNDDOWN(J31/D31,0) &amp; " cartons et " &amp; J31-ROUNDDOWN(J31/D31,0)* D31 &amp; " boites."</f>
        <v>Il reste 10 cartons et 1 boites.</v>
      </c>
    </row>
  </sheetData>
  <mergeCells count="6">
    <mergeCell ref="A1:K1"/>
    <mergeCell ref="J2:K2"/>
    <mergeCell ref="A2:B2"/>
    <mergeCell ref="C2:D2"/>
    <mergeCell ref="E2:G2"/>
    <mergeCell ref="H2:I2"/>
  </mergeCells>
  <dataValidations count="1">
    <dataValidation type="custom" allowBlank="1" showInputMessage="1" showErrorMessage="1" errorTitle="Attention" error="Les produits ditribués ne peuvent pas être supérieur au total des boites" sqref="H4:H31" xr:uid="{83501757-1C2C-444C-927C-0DA113A171A1}">
      <formula1>IF(H4&lt;=G4,TRUE,FALSE)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Lignereux</dc:creator>
  <cp:keywords/>
  <dc:description/>
  <cp:lastModifiedBy/>
  <cp:revision/>
  <dcterms:created xsi:type="dcterms:W3CDTF">2024-03-27T07:44:20Z</dcterms:created>
  <dcterms:modified xsi:type="dcterms:W3CDTF">2026-01-22T08:54:40Z</dcterms:modified>
  <cp:category/>
  <cp:contentStatus/>
</cp:coreProperties>
</file>